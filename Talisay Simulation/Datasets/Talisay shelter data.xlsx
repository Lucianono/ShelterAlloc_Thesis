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Talisay Simulation\Datasets\"/>
    </mc:Choice>
  </mc:AlternateContent>
  <xr:revisionPtr revIDLastSave="0" documentId="13_ncr:1_{49464798-8BF8-40EB-9AF3-938684DE45C9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6" i="1"/>
  <c r="G3" i="1"/>
  <c r="G4" i="1"/>
  <c r="G5" i="1"/>
  <c r="G7" i="1"/>
  <c r="G8" i="1"/>
  <c r="G11" i="1"/>
  <c r="G2" i="1"/>
  <c r="F11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<sst xmlns="http://schemas.openxmlformats.org/spreadsheetml/2006/main" count="32" uniqueCount="23">
  <si>
    <t>Remarks</t>
  </si>
  <si>
    <t>Name</t>
  </si>
  <si>
    <t>ResToFlood</t>
  </si>
  <si>
    <t>Area1</t>
  </si>
  <si>
    <t>Cost1</t>
  </si>
  <si>
    <t>Area2</t>
  </si>
  <si>
    <t>Cost2</t>
  </si>
  <si>
    <t>ResToTyphoon</t>
  </si>
  <si>
    <t>ResToEarthquake</t>
  </si>
  <si>
    <t>Status</t>
  </si>
  <si>
    <t>Latitude</t>
  </si>
  <si>
    <t>Longitude</t>
  </si>
  <si>
    <t>San Fernado Brgy. Hall</t>
  </si>
  <si>
    <t>Darasa Brgy. Hall</t>
  </si>
  <si>
    <t>San Antonio Brgy. Hall</t>
  </si>
  <si>
    <t>Tagaytay Unida Church</t>
  </si>
  <si>
    <t>Maugat Gymnasium</t>
  </si>
  <si>
    <t>Suplang Covered Court</t>
  </si>
  <si>
    <t>City EC of Sto. Tomas</t>
  </si>
  <si>
    <t>Brgy. Asis-3 EC</t>
  </si>
  <si>
    <t>BUILT</t>
  </si>
  <si>
    <t>Santa Clara Brgy. Hall</t>
  </si>
  <si>
    <t>Brgy. San Jose BB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</si>
</sst>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D1" activePane="topRight" state="frozen"/>
      <selection pane="topRight" activeCell="E10" sqref="E10"/>
    </sheetView>
  </sheetViews>
  <sheetFormatPr defaultColWidth="12.5546875" defaultRowHeight="15.75" customHeight="1" x14ac:dyDescent="0.25"/>
  <cols>
    <col min="1" max="1" width="22.109375" customWidth="1"/>
    <col min="2" max="2" width="18.33203125" customWidth="1"/>
    <col min="4" max="7" width="16" customWidth="1"/>
    <col min="8" max="10" width="16.6640625" customWidth="1"/>
  </cols>
  <sheetData>
    <row r="1" spans="1:23" ht="30" customHeight="1" x14ac:dyDescent="0.25">
      <c r="A1" s="1" t="s">
        <v>1</v>
      </c>
      <c r="B1" s="1" t="s">
        <v>10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2" x14ac:dyDescent="0.25">
      <c r="A2" t="s">
        <v>12</v>
      </c>
      <c r="B2">
        <v>14.03111</v>
      </c>
      <c r="C2">
        <v>121.20647</v>
      </c>
      <c r="D2">
        <v>152.37</v>
      </c>
      <c r="E2">
        <f>7700 * D2</f>
        <v>1173249</v>
      </c>
      <c r="F2">
        <f>2*D2</f>
        <v>304.74</v>
      </c>
      <c r="G2">
        <f>60000*D2</f>
        <v>9142200</v>
      </c>
      <c r="H2" t="b">
        <v>1</v>
      </c>
      <c r="I2" t="b">
        <v>1</v>
      </c>
      <c r="J2" t="b">
        <v>1</v>
      </c>
      <c r="K2" t="s">
        <v>20</v>
      </c>
    </row>
    <row r="3" spans="1:23" ht="13.2" x14ac:dyDescent="0.25">
      <c r="A3" s="3" t="s">
        <v>21</v>
      </c>
      <c r="B3">
        <v>13.75380344</v>
      </c>
      <c r="C3">
        <v>121.0448988</v>
      </c>
      <c r="D3">
        <v>52.35</v>
      </c>
      <c r="E3">
        <f t="shared" ref="E3:E11" si="0">7700 * D3</f>
        <v>403095</v>
      </c>
      <c r="F3">
        <f t="shared" ref="F3:F10" si="1">2*D3</f>
        <v>104.7</v>
      </c>
      <c r="G3">
        <f>60000*D3</f>
        <v>3141000</v>
      </c>
      <c r="H3" t="b">
        <v>1</v>
      </c>
      <c r="I3" t="b">
        <v>1</v>
      </c>
      <c r="J3" t="b">
        <v>1</v>
      </c>
      <c r="K3" t="s">
        <v>20</v>
      </c>
    </row>
    <row r="4" spans="1:23" ht="13.2" x14ac:dyDescent="0.25">
      <c r="A4" t="s">
        <v>13</v>
      </c>
      <c r="B4">
        <v>14.06742611</v>
      </c>
      <c r="C4">
        <v>121.1531806</v>
      </c>
      <c r="D4">
        <v>247.08</v>
      </c>
      <c r="E4">
        <f t="shared" si="0"/>
        <v>1902516</v>
      </c>
      <c r="F4">
        <f t="shared" si="1"/>
        <v>494.16</v>
      </c>
      <c r="G4">
        <f t="shared" ref="G3:G11" si="2">60000*D4</f>
        <v>14824800</v>
      </c>
      <c r="H4" t="b">
        <v>1</v>
      </c>
      <c r="I4" t="b">
        <v>1</v>
      </c>
      <c r="J4" t="b">
        <v>1</v>
      </c>
      <c r="K4" t="s">
        <v>20</v>
      </c>
    </row>
    <row r="5" spans="1:23" ht="13.2" x14ac:dyDescent="0.25">
      <c r="A5" t="s">
        <v>14</v>
      </c>
      <c r="B5">
        <v>13.85590172</v>
      </c>
      <c r="C5">
        <v>120.9720927</v>
      </c>
      <c r="D5">
        <v>98.79</v>
      </c>
      <c r="E5">
        <f t="shared" si="0"/>
        <v>760683</v>
      </c>
      <c r="F5">
        <f t="shared" si="1"/>
        <v>197.58</v>
      </c>
      <c r="G5">
        <f t="shared" si="2"/>
        <v>5927400</v>
      </c>
      <c r="H5" t="b">
        <v>1</v>
      </c>
      <c r="I5" t="b">
        <v>1</v>
      </c>
      <c r="J5" t="b">
        <v>1</v>
      </c>
      <c r="K5" t="s">
        <v>20</v>
      </c>
    </row>
    <row r="6" spans="1:23" ht="13.2" x14ac:dyDescent="0.25">
      <c r="A6" t="s">
        <v>15</v>
      </c>
      <c r="B6">
        <v>14.086450230000001</v>
      </c>
      <c r="C6">
        <v>120.9815912</v>
      </c>
      <c r="D6">
        <v>152.24</v>
      </c>
      <c r="E6">
        <f t="shared" si="0"/>
        <v>1172248</v>
      </c>
      <c r="F6">
        <f t="shared" si="1"/>
        <v>304.48</v>
      </c>
      <c r="G6">
        <f>60000*D6</f>
        <v>9134400</v>
      </c>
      <c r="H6" t="b">
        <v>1</v>
      </c>
      <c r="I6" t="b">
        <v>1</v>
      </c>
      <c r="J6" t="b">
        <v>1</v>
      </c>
      <c r="K6" t="s">
        <v>20</v>
      </c>
    </row>
    <row r="7" spans="1:23" ht="13.2" x14ac:dyDescent="0.25">
      <c r="A7" t="s">
        <v>16</v>
      </c>
      <c r="B7">
        <v>14.08572015</v>
      </c>
      <c r="C7">
        <v>120.6811275</v>
      </c>
      <c r="D7">
        <v>774.17</v>
      </c>
      <c r="E7">
        <f t="shared" si="0"/>
        <v>5961109</v>
      </c>
      <c r="F7">
        <f t="shared" si="1"/>
        <v>1548.34</v>
      </c>
      <c r="G7">
        <f t="shared" si="2"/>
        <v>46450200</v>
      </c>
      <c r="H7" t="b">
        <v>1</v>
      </c>
      <c r="I7" t="b">
        <v>1</v>
      </c>
      <c r="J7" t="b">
        <v>1</v>
      </c>
      <c r="K7" t="s">
        <v>20</v>
      </c>
    </row>
    <row r="8" spans="1:23" ht="13.2" x14ac:dyDescent="0.25">
      <c r="A8" s="3" t="s">
        <v>22</v>
      </c>
      <c r="B8">
        <v>13.736448729999999</v>
      </c>
      <c r="C8">
        <v>121.17764940000001</v>
      </c>
      <c r="D8">
        <v>575.54</v>
      </c>
      <c r="E8">
        <f t="shared" si="0"/>
        <v>4431658</v>
      </c>
      <c r="F8">
        <f t="shared" si="1"/>
        <v>1151.08</v>
      </c>
      <c r="G8">
        <f t="shared" si="2"/>
        <v>34532400</v>
      </c>
      <c r="H8" t="b">
        <v>1</v>
      </c>
      <c r="I8" t="b">
        <v>1</v>
      </c>
      <c r="J8" t="b">
        <v>1</v>
      </c>
      <c r="K8" t="s">
        <v>20</v>
      </c>
    </row>
    <row r="9" spans="1:23" ht="13.2" x14ac:dyDescent="0.25">
      <c r="A9" t="s">
        <v>17</v>
      </c>
      <c r="B9">
        <v>14.151772100000001</v>
      </c>
      <c r="C9">
        <v>121.0650424</v>
      </c>
      <c r="D9">
        <v>144.55000000000001</v>
      </c>
      <c r="E9">
        <f t="shared" si="0"/>
        <v>1113035</v>
      </c>
      <c r="F9">
        <f t="shared" si="1"/>
        <v>289.10000000000002</v>
      </c>
      <c r="G9">
        <f>60000*D9</f>
        <v>8673000</v>
      </c>
      <c r="H9" t="b">
        <v>1</v>
      </c>
      <c r="I9" t="b">
        <v>1</v>
      </c>
      <c r="J9" t="b">
        <v>1</v>
      </c>
      <c r="K9" t="s">
        <v>20</v>
      </c>
    </row>
    <row r="10" spans="1:23" ht="13.2" x14ac:dyDescent="0.25">
      <c r="A10" t="s">
        <v>18</v>
      </c>
      <c r="B10">
        <v>14.106979389999999</v>
      </c>
      <c r="C10">
        <v>121.1390664</v>
      </c>
      <c r="D10">
        <v>616.63</v>
      </c>
      <c r="E10">
        <f t="shared" si="0"/>
        <v>4748051</v>
      </c>
      <c r="F10">
        <f t="shared" si="1"/>
        <v>1233.26</v>
      </c>
      <c r="G10">
        <f>60000*D10</f>
        <v>36997800</v>
      </c>
      <c r="H10" t="b">
        <v>1</v>
      </c>
      <c r="I10" t="b">
        <v>1</v>
      </c>
      <c r="J10" t="b">
        <v>1</v>
      </c>
      <c r="K10" t="s">
        <v>20</v>
      </c>
    </row>
    <row r="11" spans="1:23" ht="13.2" x14ac:dyDescent="0.25">
      <c r="A11" t="s">
        <v>19</v>
      </c>
      <c r="B11">
        <v>14.138158600000001</v>
      </c>
      <c r="C11">
        <v>120.9013801</v>
      </c>
      <c r="D11">
        <v>63.38</v>
      </c>
      <c r="E11">
        <f t="shared" si="0"/>
        <v>488026</v>
      </c>
      <c r="F11">
        <f>2*D11</f>
        <v>126.76</v>
      </c>
      <c r="G11">
        <f t="shared" si="2"/>
        <v>3802800</v>
      </c>
      <c r="H11" t="b">
        <v>1</v>
      </c>
      <c r="I11" t="b">
        <v>1</v>
      </c>
      <c r="J11" t="b">
        <v>1</v>
      </c>
      <c r="K11" t="s">
        <v>20</v>
      </c>
    </row>
    <row r="12" spans="1:23" ht="13.2" x14ac:dyDescent="0.25"/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2026-03-21T05:24:07Z</dcterms:modified>
</cp:coreProperties>
</file>